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re Cutting Record" sheetId="1" state="visible" r:id="rId1"/>
    <sheet name="Summary" sheetId="2" state="visible" r:id="rId2"/>
    <sheet name="Core Log &amp; Procedure" sheetId="3" state="visible" r:id="rId3"/>
  </sheets>
  <definedNames>
    <definedName name="_xlnm.Print_Titles" localSheetId="0">'Core Cutting Record'!$11:$12</definedName>
    <definedName name="_xlnm.Print_Area" localSheetId="0">'Core Cutting Record'!$A$1:$M$46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;\(0.0\);\-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i val="1"/>
      <color rgb="FF404040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9"/>
    </font>
    <font>
      <name val="Arial"/>
      <charset val="1"/>
      <family val="0"/>
      <sz val="8"/>
    </font>
    <font>
      <name val="Arial"/>
      <charset val="1"/>
      <family val="0"/>
      <b val="1"/>
      <sz val="8"/>
    </font>
    <font>
      <name val="Arial"/>
      <family val="2"/>
      <sz val="10"/>
    </font>
    <font>
      <name val="Arial"/>
      <charset val="1"/>
      <family val="0"/>
      <color rgb="FF008000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8"/>
    </font>
    <font>
      <name val="Arial"/>
      <charset val="1"/>
      <family val="0"/>
      <b val="1"/>
      <color rgb="FF404040"/>
      <sz val="8"/>
    </font>
    <font>
      <name val="Arial"/>
      <charset val="1"/>
      <family val="0"/>
      <b val="1"/>
      <color rgb="FF008000"/>
      <sz val="10"/>
    </font>
    <font>
      <name val="Arial"/>
      <charset val="1"/>
      <family val="0"/>
      <i val="1"/>
      <color rgb="FF404040"/>
      <sz val="9"/>
    </font>
    <font>
      <name val="Arial"/>
      <charset val="1"/>
      <family val="0"/>
      <b val="1"/>
      <color rgb="FFC00000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606060"/>
        <bgColor rgb="FF808080"/>
      </patternFill>
    </fill>
    <fill>
      <patternFill patternType="solid">
        <fgColor rgb="FF8C8C8C"/>
        <bgColor rgb="FF808080"/>
      </patternFill>
    </fill>
    <fill>
      <patternFill patternType="solid">
        <fgColor rgb="FFE2D5C3"/>
        <bgColor rgb="FFD9E2F3"/>
      </patternFill>
    </fill>
  </fills>
  <borders count="21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thin">
        <color rgb="FF808080"/>
      </top>
      <bottom style="medium">
        <color rgb="FF1F3864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1F3864"/>
      </top>
      <bottom/>
      <diagonal/>
    </border>
    <border>
      <left/>
      <right style="thin">
        <color rgb="FF808080"/>
      </right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808080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64" fontId="8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165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right" vertical="center"/>
    </xf>
    <xf numFmtId="0" fontId="6" fillId="7" borderId="3" applyAlignment="1" pivotButton="0" quotePrefix="0" xfId="0">
      <alignment horizontal="center" vertical="center" wrapText="1"/>
    </xf>
    <xf numFmtId="165" fontId="6" fillId="7" borderId="3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0" fontId="6" fillId="7" borderId="3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6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right" vertical="center"/>
    </xf>
    <xf numFmtId="166" fontId="16" fillId="0" borderId="2" applyAlignment="1" pivotButton="0" quotePrefix="0" xfId="0">
      <alignment horizontal="right" vertical="center"/>
    </xf>
    <xf numFmtId="164" fontId="16" fillId="3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8" fillId="7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165" fontId="21" fillId="0" borderId="2" applyAlignment="1" pivotButton="0" quotePrefix="0" xfId="0">
      <alignment horizontal="center" vertical="center" wrapText="1"/>
    </xf>
    <xf numFmtId="164" fontId="21" fillId="0" borderId="2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 wrapText="1"/>
    </xf>
    <xf numFmtId="0" fontId="22" fillId="10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right" vertical="center"/>
    </xf>
    <xf numFmtId="164" fontId="8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  <xf numFmtId="0" fontId="11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165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right" vertical="center"/>
    </xf>
    <xf numFmtId="0" fontId="6" fillId="7" borderId="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165" fontId="6" fillId="7" borderId="3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0" fontId="6" fillId="7" borderId="3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6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right" vertical="center"/>
    </xf>
    <xf numFmtId="166" fontId="16" fillId="0" borderId="2" applyAlignment="1" pivotButton="0" quotePrefix="0" xfId="0">
      <alignment horizontal="right" vertical="center"/>
    </xf>
    <xf numFmtId="164" fontId="16" fillId="3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8" fillId="7" borderId="4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165" fontId="21" fillId="0" borderId="2" applyAlignment="1" pivotButton="0" quotePrefix="0" xfId="0">
      <alignment horizontal="center" vertical="center" wrapText="1"/>
    </xf>
    <xf numFmtId="164" fontId="21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0" fontId="10" fillId="9" borderId="5" applyAlignment="1" pivotButton="0" quotePrefix="0" xfId="0">
      <alignment horizontal="center" vertical="center" wrapText="1"/>
    </xf>
    <xf numFmtId="0" fontId="22" fillId="10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2D5C3"/>
      <rgbColor rgb="FF3366FF"/>
      <rgbColor rgb="FF33CCCC"/>
      <rgbColor rgb="FF99CC00"/>
      <rgbColor rgb="FFFFCC00"/>
      <rgbColor rgb="FFFF9900"/>
      <rgbColor rgb="FFFF6600"/>
      <rgbColor rgb="FF606060"/>
      <rgbColor rgb="FF8C8C8C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F9" authorId="0" shapeId="0">
      <text>
        <t>Assumption (editable input). Default 95% i.e. 5% deficiency permitted in an individual core. Adjust to the tolerance stipulated in your contract / MoRTH Specification Cl. 903.5. Every entry in the Remarks column reads this cell.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48" min="1" max="1"/>
    <col width="8" customWidth="1" style="48" min="2" max="2"/>
    <col width="10" customWidth="1" style="48" min="3" max="5"/>
    <col width="9" customWidth="1" style="48" min="6" max="6"/>
    <col width="10" customWidth="1" style="48" min="7" max="8"/>
    <col width="9" customWidth="1" style="48" min="9" max="9"/>
    <col width="10" customWidth="1" style="48" min="10" max="11"/>
    <col width="9" customWidth="1" style="48" min="12" max="12"/>
    <col width="42" customWidth="1" style="48" min="13" max="13"/>
  </cols>
  <sheetData>
    <row r="1" ht="25.5" customHeight="1" s="49">
      <c r="A1" s="50" t="inlineStr">
        <is>
          <t>CORE CUTTING RECORD  —  BITUMINOUS LAYER THICKNESS</t>
        </is>
      </c>
    </row>
    <row r="2" ht="13.5" customHeight="1" s="49">
      <c r="A2" s="51" t="inlineStr">
        <is>
          <t>Construction Quality Division, Ministry of Infrastructure &amp; Transport — Royal Government of Bhutan</t>
        </is>
      </c>
    </row>
    <row r="4" ht="15" customHeight="1" s="49">
      <c r="A4" s="52" t="inlineStr">
        <is>
          <t>Project / Work Name :</t>
        </is>
      </c>
      <c r="B4" s="53" t="n"/>
      <c r="C4" s="54" t="n"/>
      <c r="D4" s="54" t="n"/>
      <c r="E4" s="54" t="n"/>
      <c r="F4" s="54" t="n"/>
      <c r="G4" s="52" t="inlineStr">
        <is>
          <t>Contract / Package No. :</t>
        </is>
      </c>
      <c r="I4" s="53" t="n"/>
      <c r="J4" s="54" t="n"/>
      <c r="K4" s="54" t="n"/>
      <c r="L4" s="54" t="n"/>
      <c r="M4" s="54" t="n"/>
    </row>
    <row r="5" ht="15" customHeight="1" s="49">
      <c r="A5" s="52" t="inlineStr">
        <is>
          <t>Road / Chainage Section :</t>
        </is>
      </c>
      <c r="B5" s="53" t="n"/>
      <c r="C5" s="54" t="n"/>
      <c r="D5" s="54" t="n"/>
      <c r="E5" s="54" t="n"/>
      <c r="F5" s="54" t="n"/>
      <c r="G5" s="52" t="inlineStr">
        <is>
          <t>Dzongkhag :</t>
        </is>
      </c>
      <c r="I5" s="53" t="n"/>
      <c r="J5" s="54" t="n"/>
      <c r="K5" s="54" t="n"/>
      <c r="L5" s="54" t="n"/>
      <c r="M5" s="54" t="n"/>
    </row>
    <row r="6" ht="15" customHeight="1" s="49">
      <c r="A6" s="52" t="inlineStr">
        <is>
          <t>Date of Core Cutting :</t>
        </is>
      </c>
      <c r="B6" s="53" t="n"/>
      <c r="C6" s="54" t="n"/>
      <c r="D6" s="54" t="n"/>
      <c r="E6" s="54" t="n"/>
      <c r="F6" s="54" t="n"/>
      <c r="G6" s="52" t="inlineStr">
        <is>
          <t>Layer(s) Tested :</t>
        </is>
      </c>
      <c r="I6" s="53" t="inlineStr">
        <is>
          <t>DBM + AC/BC</t>
        </is>
      </c>
      <c r="J6" s="54" t="n"/>
      <c r="K6" s="54" t="n"/>
      <c r="L6" s="54" t="n"/>
      <c r="M6" s="54" t="n"/>
    </row>
    <row r="7" ht="15" customHeight="1" s="49">
      <c r="A7" s="52" t="inlineStr">
        <is>
          <t>Tested / Witnessed By :</t>
        </is>
      </c>
      <c r="B7" s="53" t="n"/>
      <c r="C7" s="54" t="n"/>
      <c r="D7" s="54" t="n"/>
      <c r="E7" s="54" t="n"/>
      <c r="F7" s="54" t="n"/>
      <c r="G7" s="52" t="inlineStr">
        <is>
          <t>Contractor :</t>
        </is>
      </c>
      <c r="I7" s="53" t="n"/>
      <c r="J7" s="54" t="n"/>
      <c r="K7" s="54" t="n"/>
      <c r="L7" s="54" t="n"/>
      <c r="M7" s="54" t="n"/>
    </row>
    <row r="9" ht="15" customHeight="1" s="49">
      <c r="A9" s="55" t="inlineStr">
        <is>
          <t>Acceptance limit — minimum thickness as % of design, applied to EACH layer :</t>
        </is>
      </c>
      <c r="F9" s="56" t="n">
        <v>0.95</v>
      </c>
      <c r="G9" s="57" t="inlineStr">
        <is>
          <t>← editable. Drives the Remarks column and the Summary sheet.</t>
        </is>
      </c>
    </row>
    <row r="11" ht="18" customHeight="1" s="49">
      <c r="A11" s="58" t="inlineStr">
        <is>
          <t>Chainage</t>
        </is>
      </c>
      <c r="B11" s="58" t="inlineStr">
        <is>
          <t>Core No.</t>
        </is>
      </c>
      <c r="C11" s="58" t="inlineStr">
        <is>
          <t>Position</t>
        </is>
      </c>
      <c r="D11" s="58" t="inlineStr">
        <is>
          <t>DBM  (mm)</t>
        </is>
      </c>
      <c r="E11" s="59" t="n"/>
      <c r="F11" s="60" t="n"/>
      <c r="G11" s="58" t="inlineStr">
        <is>
          <t>AC/BC  (mm)</t>
        </is>
      </c>
      <c r="H11" s="59" t="n"/>
      <c r="I11" s="60" t="n"/>
      <c r="J11" s="58" t="inlineStr">
        <is>
          <t>TOTAL  (mm)</t>
        </is>
      </c>
      <c r="K11" s="59" t="n"/>
      <c r="L11" s="60" t="n"/>
      <c r="M11" s="58" t="inlineStr">
        <is>
          <t>Remarks</t>
        </is>
      </c>
    </row>
    <row r="12" ht="15.75" customHeight="1" s="49">
      <c r="A12" s="61" t="n"/>
      <c r="B12" s="61" t="n"/>
      <c r="C12" s="61" t="n"/>
      <c r="D12" s="62" t="inlineStr">
        <is>
          <t>Design</t>
        </is>
      </c>
      <c r="E12" s="62" t="inlineStr">
        <is>
          <t>Actual</t>
        </is>
      </c>
      <c r="F12" s="62" t="inlineStr">
        <is>
          <t>%</t>
        </is>
      </c>
      <c r="G12" s="62" t="inlineStr">
        <is>
          <t>Design</t>
        </is>
      </c>
      <c r="H12" s="62" t="inlineStr">
        <is>
          <t>Actual</t>
        </is>
      </c>
      <c r="I12" s="62" t="inlineStr">
        <is>
          <t>%</t>
        </is>
      </c>
      <c r="J12" s="62" t="inlineStr">
        <is>
          <t>Design</t>
        </is>
      </c>
      <c r="K12" s="62" t="inlineStr">
        <is>
          <t>Actual</t>
        </is>
      </c>
      <c r="L12" s="62" t="inlineStr">
        <is>
          <t>%</t>
        </is>
      </c>
      <c r="M12" s="61" t="n"/>
    </row>
    <row r="13" ht="15" customHeight="1" s="49">
      <c r="A13" s="63" t="n"/>
      <c r="B13" s="63" t="n"/>
      <c r="C13" s="63" t="n"/>
      <c r="D13" s="64" t="n"/>
      <c r="E13" s="64" t="n"/>
      <c r="F13" s="65">
        <f>IF(OR(D13="",E13=""),"",E13/D13)</f>
        <v/>
      </c>
      <c r="G13" s="64" t="n"/>
      <c r="H13" s="64" t="n"/>
      <c r="I13" s="65">
        <f>IF(OR(G13="",H13=""),"",H13/G13)</f>
        <v/>
      </c>
      <c r="J13" s="66">
        <f>IF(COUNT(D13,G13)=0,"",SUM(D13,G13))</f>
        <v/>
      </c>
      <c r="K13" s="66">
        <f>IF(COUNT(E13,H13)=0,"",SUM(E13,H13))</f>
        <v/>
      </c>
      <c r="L13" s="65">
        <f>IF(OR(J13="",J13=0,K13=""),"",K13/J13)</f>
        <v/>
      </c>
      <c r="M13" s="67">
        <f>IF(L13="","",IF(AND(F13&gt;=$F$9,I13&gt;=$F$9),"Both layers within tolerance","Deficient: "&amp;IF(I13&lt;$F$9,"AC/BC "&amp;TEXT(G13-H13,"0.0")&amp;" mm short","")&amp;IF(AND(I13&lt;$F$9,F13&lt;$F$9),"; ","")&amp;IF(F13&lt;$F$9,"DBM "&amp;TEXT(D13-E13,"0.0")&amp;" mm short","")&amp;" — issue NCR"))</f>
        <v/>
      </c>
    </row>
    <row r="14" ht="15" customHeight="1" s="49">
      <c r="A14" s="63" t="n"/>
      <c r="B14" s="63" t="n"/>
      <c r="C14" s="63" t="n"/>
      <c r="D14" s="64" t="n"/>
      <c r="E14" s="64" t="n"/>
      <c r="F14" s="65">
        <f>IF(OR(D14="",E14=""),"",E14/D14)</f>
        <v/>
      </c>
      <c r="G14" s="64" t="n"/>
      <c r="H14" s="64" t="n"/>
      <c r="I14" s="65">
        <f>IF(OR(G14="",H14=""),"",H14/G14)</f>
        <v/>
      </c>
      <c r="J14" s="66">
        <f>IF(COUNT(D14,G14)=0,"",SUM(D14,G14))</f>
        <v/>
      </c>
      <c r="K14" s="66">
        <f>IF(COUNT(E14,H14)=0,"",SUM(E14,H14))</f>
        <v/>
      </c>
      <c r="L14" s="65">
        <f>IF(OR(J14="",J14=0,K14=""),"",K14/J14)</f>
        <v/>
      </c>
      <c r="M14" s="67">
        <f>IF(L14="","",IF(AND(F14&gt;=$F$9,I14&gt;=$F$9),"Both layers within tolerance","Deficient: "&amp;IF(I14&lt;$F$9,"AC/BC "&amp;TEXT(G14-H14,"0.0")&amp;" mm short","")&amp;IF(AND(I14&lt;$F$9,F14&lt;$F$9),"; ","")&amp;IF(F14&lt;$F$9,"DBM "&amp;TEXT(D14-E14,"0.0")&amp;" mm short","")&amp;" — issue NCR"))</f>
        <v/>
      </c>
    </row>
    <row r="15" ht="15" customHeight="1" s="49">
      <c r="A15" s="63" t="n"/>
      <c r="B15" s="63" t="n"/>
      <c r="C15" s="63" t="n"/>
      <c r="D15" s="64" t="n"/>
      <c r="E15" s="64" t="n"/>
      <c r="F15" s="65">
        <f>IF(OR(D15="",E15=""),"",E15/D15)</f>
        <v/>
      </c>
      <c r="G15" s="64" t="n"/>
      <c r="H15" s="64" t="n"/>
      <c r="I15" s="65">
        <f>IF(OR(G15="",H15=""),"",H15/G15)</f>
        <v/>
      </c>
      <c r="J15" s="66">
        <f>IF(COUNT(D15,G15)=0,"",SUM(D15,G15))</f>
        <v/>
      </c>
      <c r="K15" s="66">
        <f>IF(COUNT(E15,H15)=0,"",SUM(E15,H15))</f>
        <v/>
      </c>
      <c r="L15" s="65">
        <f>IF(OR(J15="",J15=0,K15=""),"",K15/J15)</f>
        <v/>
      </c>
      <c r="M15" s="67">
        <f>IF(L15="","",IF(AND(F15&gt;=$F$9,I15&gt;=$F$9),"Both layers within tolerance","Deficient: "&amp;IF(I15&lt;$F$9,"AC/BC "&amp;TEXT(G15-H15,"0.0")&amp;" mm short","")&amp;IF(AND(I15&lt;$F$9,F15&lt;$F$9),"; ","")&amp;IF(F15&lt;$F$9,"DBM "&amp;TEXT(D15-E15,"0.0")&amp;" mm short","")&amp;" — issue NCR"))</f>
        <v/>
      </c>
    </row>
    <row r="16" ht="15" customHeight="1" s="49">
      <c r="A16" s="68" t="n"/>
      <c r="B16" s="68" t="n"/>
      <c r="C16" s="68" t="n"/>
      <c r="D16" s="69" t="n"/>
      <c r="E16" s="69" t="n"/>
      <c r="F16" s="65">
        <f>IF(OR(D16="",E16=""),"",E16/D16)</f>
        <v/>
      </c>
      <c r="G16" s="69" t="n"/>
      <c r="H16" s="69" t="n"/>
      <c r="I16" s="65">
        <f>IF(OR(G16="",H16=""),"",H16/G16)</f>
        <v/>
      </c>
      <c r="J16" s="66">
        <f>IF(COUNT(D16,G16)=0,"",SUM(D16,G16))</f>
        <v/>
      </c>
      <c r="K16" s="66">
        <f>IF(COUNT(E16,H16)=0,"",SUM(E16,H16))</f>
        <v/>
      </c>
      <c r="L16" s="65">
        <f>IF(OR(J16="",J16=0,K16=""),"",K16/J16)</f>
        <v/>
      </c>
      <c r="M16" s="67">
        <f>IF(L16="","",IF(AND(F16&gt;=$F$9,I16&gt;=$F$9),"Both layers within tolerance","Deficient: "&amp;IF(I16&lt;$F$9,"AC/BC "&amp;TEXT(G16-H16,"0.0")&amp;" mm short","")&amp;IF(AND(I16&lt;$F$9,F16&lt;$F$9),"; ","")&amp;IF(F16&lt;$F$9,"DBM "&amp;TEXT(D16-E16,"0.0")&amp;" mm short","")&amp;" — issue NCR"))</f>
        <v/>
      </c>
    </row>
    <row r="17" ht="15" customHeight="1" s="49">
      <c r="A17" s="68" t="n"/>
      <c r="B17" s="68" t="n"/>
      <c r="C17" s="68" t="n"/>
      <c r="D17" s="69" t="n"/>
      <c r="E17" s="69" t="n"/>
      <c r="F17" s="65">
        <f>IF(OR(D17="",E17=""),"",E17/D17)</f>
        <v/>
      </c>
      <c r="G17" s="69" t="n"/>
      <c r="H17" s="69" t="n"/>
      <c r="I17" s="65">
        <f>IF(OR(G17="",H17=""),"",H17/G17)</f>
        <v/>
      </c>
      <c r="J17" s="66">
        <f>IF(COUNT(D17,G17)=0,"",SUM(D17,G17))</f>
        <v/>
      </c>
      <c r="K17" s="66">
        <f>IF(COUNT(E17,H17)=0,"",SUM(E17,H17))</f>
        <v/>
      </c>
      <c r="L17" s="65">
        <f>IF(OR(J17="",J17=0,K17=""),"",K17/J17)</f>
        <v/>
      </c>
      <c r="M17" s="67">
        <f>IF(L17="","",IF(AND(F17&gt;=$F$9,I17&gt;=$F$9),"Both layers within tolerance","Deficient: "&amp;IF(I17&lt;$F$9,"AC/BC "&amp;TEXT(G17-H17,"0.0")&amp;" mm short","")&amp;IF(AND(I17&lt;$F$9,F17&lt;$F$9),"; ","")&amp;IF(F17&lt;$F$9,"DBM "&amp;TEXT(D17-E17,"0.0")&amp;" mm short","")&amp;" — issue NCR"))</f>
        <v/>
      </c>
    </row>
    <row r="18" ht="15" customHeight="1" s="49">
      <c r="A18" s="68" t="n"/>
      <c r="B18" s="68" t="n"/>
      <c r="C18" s="68" t="n"/>
      <c r="D18" s="69" t="n"/>
      <c r="E18" s="69" t="n"/>
      <c r="F18" s="65">
        <f>IF(OR(D18="",E18=""),"",E18/D18)</f>
        <v/>
      </c>
      <c r="G18" s="69" t="n"/>
      <c r="H18" s="69" t="n"/>
      <c r="I18" s="65">
        <f>IF(OR(G18="",H18=""),"",H18/G18)</f>
        <v/>
      </c>
      <c r="J18" s="66">
        <f>IF(COUNT(D18,G18)=0,"",SUM(D18,G18))</f>
        <v/>
      </c>
      <c r="K18" s="66">
        <f>IF(COUNT(E18,H18)=0,"",SUM(E18,H18))</f>
        <v/>
      </c>
      <c r="L18" s="65">
        <f>IF(OR(J18="",J18=0,K18=""),"",K18/J18)</f>
        <v/>
      </c>
      <c r="M18" s="67">
        <f>IF(L18="","",IF(AND(F18&gt;=$F$9,I18&gt;=$F$9),"Both layers within tolerance","Deficient: "&amp;IF(I18&lt;$F$9,"AC/BC "&amp;TEXT(G18-H18,"0.0")&amp;" mm short","")&amp;IF(AND(I18&lt;$F$9,F18&lt;$F$9),"; ","")&amp;IF(F18&lt;$F$9,"DBM "&amp;TEXT(D18-E18,"0.0")&amp;" mm short","")&amp;" — issue NCR"))</f>
        <v/>
      </c>
    </row>
    <row r="19" ht="15" customHeight="1" s="49">
      <c r="A19" s="68" t="n"/>
      <c r="B19" s="68" t="n"/>
      <c r="C19" s="68" t="n"/>
      <c r="D19" s="69" t="n"/>
      <c r="E19" s="69" t="n"/>
      <c r="F19" s="65">
        <f>IF(OR(D19="",E19=""),"",E19/D19)</f>
        <v/>
      </c>
      <c r="G19" s="69" t="n"/>
      <c r="H19" s="69" t="n"/>
      <c r="I19" s="65">
        <f>IF(OR(G19="",H19=""),"",H19/G19)</f>
        <v/>
      </c>
      <c r="J19" s="66">
        <f>IF(COUNT(D19,G19)=0,"",SUM(D19,G19))</f>
        <v/>
      </c>
      <c r="K19" s="66">
        <f>IF(COUNT(E19,H19)=0,"",SUM(E19,H19))</f>
        <v/>
      </c>
      <c r="L19" s="65">
        <f>IF(OR(J19="",J19=0,K19=""),"",K19/J19)</f>
        <v/>
      </c>
      <c r="M19" s="67">
        <f>IF(L19="","",IF(AND(F19&gt;=$F$9,I19&gt;=$F$9),"Both layers within tolerance","Deficient: "&amp;IF(I19&lt;$F$9,"AC/BC "&amp;TEXT(G19-H19,"0.0")&amp;" mm short","")&amp;IF(AND(I19&lt;$F$9,F19&lt;$F$9),"; ","")&amp;IF(F19&lt;$F$9,"DBM "&amp;TEXT(D19-E19,"0.0")&amp;" mm short","")&amp;" — issue NCR"))</f>
        <v/>
      </c>
    </row>
    <row r="20" ht="15" customHeight="1" s="49">
      <c r="A20" s="68" t="n"/>
      <c r="B20" s="68" t="n"/>
      <c r="C20" s="68" t="n"/>
      <c r="D20" s="69" t="n"/>
      <c r="E20" s="69" t="n"/>
      <c r="F20" s="65">
        <f>IF(OR(D20="",E20=""),"",E20/D20)</f>
        <v/>
      </c>
      <c r="G20" s="69" t="n"/>
      <c r="H20" s="69" t="n"/>
      <c r="I20" s="65">
        <f>IF(OR(G20="",H20=""),"",H20/G20)</f>
        <v/>
      </c>
      <c r="J20" s="66">
        <f>IF(COUNT(D20,G20)=0,"",SUM(D20,G20))</f>
        <v/>
      </c>
      <c r="K20" s="66">
        <f>IF(COUNT(E20,H20)=0,"",SUM(E20,H20))</f>
        <v/>
      </c>
      <c r="L20" s="65">
        <f>IF(OR(J20="",J20=0,K20=""),"",K20/J20)</f>
        <v/>
      </c>
      <c r="M20" s="67">
        <f>IF(L20="","",IF(AND(F20&gt;=$F$9,I20&gt;=$F$9),"Both layers within tolerance","Deficient: "&amp;IF(I20&lt;$F$9,"AC/BC "&amp;TEXT(G20-H20,"0.0")&amp;" mm short","")&amp;IF(AND(I20&lt;$F$9,F20&lt;$F$9),"; ","")&amp;IF(F20&lt;$F$9,"DBM "&amp;TEXT(D20-E20,"0.0")&amp;" mm short","")&amp;" — issue NCR"))</f>
        <v/>
      </c>
    </row>
    <row r="21" ht="15" customHeight="1" s="49">
      <c r="A21" s="68" t="n"/>
      <c r="B21" s="68" t="n"/>
      <c r="C21" s="68" t="n"/>
      <c r="D21" s="69" t="n"/>
      <c r="E21" s="69" t="n"/>
      <c r="F21" s="65">
        <f>IF(OR(D21="",E21=""),"",E21/D21)</f>
        <v/>
      </c>
      <c r="G21" s="69" t="n"/>
      <c r="H21" s="69" t="n"/>
      <c r="I21" s="65">
        <f>IF(OR(G21="",H21=""),"",H21/G21)</f>
        <v/>
      </c>
      <c r="J21" s="66">
        <f>IF(COUNT(D21,G21)=0,"",SUM(D21,G21))</f>
        <v/>
      </c>
      <c r="K21" s="66">
        <f>IF(COUNT(E21,H21)=0,"",SUM(E21,H21))</f>
        <v/>
      </c>
      <c r="L21" s="65">
        <f>IF(OR(J21="",J21=0,K21=""),"",K21/J21)</f>
        <v/>
      </c>
      <c r="M21" s="67">
        <f>IF(L21="","",IF(AND(F21&gt;=$F$9,I21&gt;=$F$9),"Both layers within tolerance","Deficient: "&amp;IF(I21&lt;$F$9,"AC/BC "&amp;TEXT(G21-H21,"0.0")&amp;" mm short","")&amp;IF(AND(I21&lt;$F$9,F21&lt;$F$9),"; ","")&amp;IF(F21&lt;$F$9,"DBM "&amp;TEXT(D21-E21,"0.0")&amp;" mm short","")&amp;" — issue NCR"))</f>
        <v/>
      </c>
    </row>
    <row r="22" ht="15" customHeight="1" s="49">
      <c r="A22" s="68" t="n"/>
      <c r="B22" s="68" t="n"/>
      <c r="C22" s="68" t="n"/>
      <c r="D22" s="69" t="n"/>
      <c r="E22" s="69" t="n"/>
      <c r="F22" s="65">
        <f>IF(OR(D22="",E22=""),"",E22/D22)</f>
        <v/>
      </c>
      <c r="G22" s="69" t="n"/>
      <c r="H22" s="69" t="n"/>
      <c r="I22" s="65">
        <f>IF(OR(G22="",H22=""),"",H22/G22)</f>
        <v/>
      </c>
      <c r="J22" s="66">
        <f>IF(COUNT(D22,G22)=0,"",SUM(D22,G22))</f>
        <v/>
      </c>
      <c r="K22" s="66">
        <f>IF(COUNT(E22,H22)=0,"",SUM(E22,H22))</f>
        <v/>
      </c>
      <c r="L22" s="65">
        <f>IF(OR(J22="",J22=0,K22=""),"",K22/J22)</f>
        <v/>
      </c>
      <c r="M22" s="67">
        <f>IF(L22="","",IF(AND(F22&gt;=$F$9,I22&gt;=$F$9),"Both layers within tolerance","Deficient: "&amp;IF(I22&lt;$F$9,"AC/BC "&amp;TEXT(G22-H22,"0.0")&amp;" mm short","")&amp;IF(AND(I22&lt;$F$9,F22&lt;$F$9),"; ","")&amp;IF(F22&lt;$F$9,"DBM "&amp;TEXT(D22-E22,"0.0")&amp;" mm short","")&amp;" — issue NCR"))</f>
        <v/>
      </c>
    </row>
    <row r="23" ht="15" customHeight="1" s="49">
      <c r="A23" s="68" t="n"/>
      <c r="B23" s="68" t="n"/>
      <c r="C23" s="68" t="n"/>
      <c r="D23" s="69" t="n"/>
      <c r="E23" s="69" t="n"/>
      <c r="F23" s="65">
        <f>IF(OR(D23="",E23=""),"",E23/D23)</f>
        <v/>
      </c>
      <c r="G23" s="69" t="n"/>
      <c r="H23" s="69" t="n"/>
      <c r="I23" s="65">
        <f>IF(OR(G23="",H23=""),"",H23/G23)</f>
        <v/>
      </c>
      <c r="J23" s="66">
        <f>IF(COUNT(D23,G23)=0,"",SUM(D23,G23))</f>
        <v/>
      </c>
      <c r="K23" s="66">
        <f>IF(COUNT(E23,H23)=0,"",SUM(E23,H23))</f>
        <v/>
      </c>
      <c r="L23" s="65">
        <f>IF(OR(J23="",J23=0,K23=""),"",K23/J23)</f>
        <v/>
      </c>
      <c r="M23" s="67">
        <f>IF(L23="","",IF(AND(F23&gt;=$F$9,I23&gt;=$F$9),"Both layers within tolerance","Deficient: "&amp;IF(I23&lt;$F$9,"AC/BC "&amp;TEXT(G23-H23,"0.0")&amp;" mm short","")&amp;IF(AND(I23&lt;$F$9,F23&lt;$F$9),"; ","")&amp;IF(F23&lt;$F$9,"DBM "&amp;TEXT(D23-E23,"0.0")&amp;" mm short","")&amp;" — issue NCR"))</f>
        <v/>
      </c>
    </row>
    <row r="24" ht="15" customHeight="1" s="49">
      <c r="A24" s="68" t="n"/>
      <c r="B24" s="68" t="n"/>
      <c r="C24" s="68" t="n"/>
      <c r="D24" s="69" t="n"/>
      <c r="E24" s="69" t="n"/>
      <c r="F24" s="65">
        <f>IF(OR(D24="",E24=""),"",E24/D24)</f>
        <v/>
      </c>
      <c r="G24" s="69" t="n"/>
      <c r="H24" s="69" t="n"/>
      <c r="I24" s="65">
        <f>IF(OR(G24="",H24=""),"",H24/G24)</f>
        <v/>
      </c>
      <c r="J24" s="66">
        <f>IF(COUNT(D24,G24)=0,"",SUM(D24,G24))</f>
        <v/>
      </c>
      <c r="K24" s="66">
        <f>IF(COUNT(E24,H24)=0,"",SUM(E24,H24))</f>
        <v/>
      </c>
      <c r="L24" s="65">
        <f>IF(OR(J24="",J24=0,K24=""),"",K24/J24)</f>
        <v/>
      </c>
      <c r="M24" s="67">
        <f>IF(L24="","",IF(AND(F24&gt;=$F$9,I24&gt;=$F$9),"Both layers within tolerance","Deficient: "&amp;IF(I24&lt;$F$9,"AC/BC "&amp;TEXT(G24-H24,"0.0")&amp;" mm short","")&amp;IF(AND(I24&lt;$F$9,F24&lt;$F$9),"; ","")&amp;IF(F24&lt;$F$9,"DBM "&amp;TEXT(D24-E24,"0.0")&amp;" mm short","")&amp;" — issue NCR"))</f>
        <v/>
      </c>
    </row>
    <row r="25" ht="15" customHeight="1" s="49">
      <c r="A25" s="68" t="n"/>
      <c r="B25" s="68" t="n"/>
      <c r="C25" s="68" t="n"/>
      <c r="D25" s="69" t="n"/>
      <c r="E25" s="69" t="n"/>
      <c r="F25" s="65">
        <f>IF(OR(D25="",E25=""),"",E25/D25)</f>
        <v/>
      </c>
      <c r="G25" s="69" t="n"/>
      <c r="H25" s="69" t="n"/>
      <c r="I25" s="65">
        <f>IF(OR(G25="",H25=""),"",H25/G25)</f>
        <v/>
      </c>
      <c r="J25" s="66">
        <f>IF(COUNT(D25,G25)=0,"",SUM(D25,G25))</f>
        <v/>
      </c>
      <c r="K25" s="66">
        <f>IF(COUNT(E25,H25)=0,"",SUM(E25,H25))</f>
        <v/>
      </c>
      <c r="L25" s="65">
        <f>IF(OR(J25="",J25=0,K25=""),"",K25/J25)</f>
        <v/>
      </c>
      <c r="M25" s="67">
        <f>IF(L25="","",IF(AND(F25&gt;=$F$9,I25&gt;=$F$9),"Both layers within tolerance","Deficient: "&amp;IF(I25&lt;$F$9,"AC/BC "&amp;TEXT(G25-H25,"0.0")&amp;" mm short","")&amp;IF(AND(I25&lt;$F$9,F25&lt;$F$9),"; ","")&amp;IF(F25&lt;$F$9,"DBM "&amp;TEXT(D25-E25,"0.0")&amp;" mm short","")&amp;" — issue NCR"))</f>
        <v/>
      </c>
    </row>
    <row r="26" ht="15" customHeight="1" s="49">
      <c r="A26" s="68" t="n"/>
      <c r="B26" s="68" t="n"/>
      <c r="C26" s="68" t="n"/>
      <c r="D26" s="69" t="n"/>
      <c r="E26" s="69" t="n"/>
      <c r="F26" s="65">
        <f>IF(OR(D26="",E26=""),"",E26/D26)</f>
        <v/>
      </c>
      <c r="G26" s="69" t="n"/>
      <c r="H26" s="69" t="n"/>
      <c r="I26" s="65">
        <f>IF(OR(G26="",H26=""),"",H26/G26)</f>
        <v/>
      </c>
      <c r="J26" s="66">
        <f>IF(COUNT(D26,G26)=0,"",SUM(D26,G26))</f>
        <v/>
      </c>
      <c r="K26" s="66">
        <f>IF(COUNT(E26,H26)=0,"",SUM(E26,H26))</f>
        <v/>
      </c>
      <c r="L26" s="65">
        <f>IF(OR(J26="",J26=0,K26=""),"",K26/J26)</f>
        <v/>
      </c>
      <c r="M26" s="67">
        <f>IF(L26="","",IF(AND(F26&gt;=$F$9,I26&gt;=$F$9),"Both layers within tolerance","Deficient: "&amp;IF(I26&lt;$F$9,"AC/BC "&amp;TEXT(G26-H26,"0.0")&amp;" mm short","")&amp;IF(AND(I26&lt;$F$9,F26&lt;$F$9),"; ","")&amp;IF(F26&lt;$F$9,"DBM "&amp;TEXT(D26-E26,"0.0")&amp;" mm short","")&amp;" — issue NCR"))</f>
        <v/>
      </c>
    </row>
    <row r="27" ht="15" customHeight="1" s="49">
      <c r="A27" s="68" t="n"/>
      <c r="B27" s="68" t="n"/>
      <c r="C27" s="68" t="n"/>
      <c r="D27" s="69" t="n"/>
      <c r="E27" s="69" t="n"/>
      <c r="F27" s="65">
        <f>IF(OR(D27="",E27=""),"",E27/D27)</f>
        <v/>
      </c>
      <c r="G27" s="69" t="n"/>
      <c r="H27" s="69" t="n"/>
      <c r="I27" s="65">
        <f>IF(OR(G27="",H27=""),"",H27/G27)</f>
        <v/>
      </c>
      <c r="J27" s="66">
        <f>IF(COUNT(D27,G27)=0,"",SUM(D27,G27))</f>
        <v/>
      </c>
      <c r="K27" s="66">
        <f>IF(COUNT(E27,H27)=0,"",SUM(E27,H27))</f>
        <v/>
      </c>
      <c r="L27" s="65">
        <f>IF(OR(J27="",J27=0,K27=""),"",K27/J27)</f>
        <v/>
      </c>
      <c r="M27" s="67">
        <f>IF(L27="","",IF(AND(F27&gt;=$F$9,I27&gt;=$F$9),"Both layers within tolerance","Deficient: "&amp;IF(I27&lt;$F$9,"AC/BC "&amp;TEXT(G27-H27,"0.0")&amp;" mm short","")&amp;IF(AND(I27&lt;$F$9,F27&lt;$F$9),"; ","")&amp;IF(F27&lt;$F$9,"DBM "&amp;TEXT(D27-E27,"0.0")&amp;" mm short","")&amp;" — issue NCR"))</f>
        <v/>
      </c>
    </row>
    <row r="28" ht="15" customHeight="1" s="49">
      <c r="A28" s="68" t="n"/>
      <c r="B28" s="68" t="n"/>
      <c r="C28" s="68" t="n"/>
      <c r="D28" s="69" t="n"/>
      <c r="E28" s="69" t="n"/>
      <c r="F28" s="65">
        <f>IF(OR(D28="",E28=""),"",E28/D28)</f>
        <v/>
      </c>
      <c r="G28" s="69" t="n"/>
      <c r="H28" s="69" t="n"/>
      <c r="I28" s="65">
        <f>IF(OR(G28="",H28=""),"",H28/G28)</f>
        <v/>
      </c>
      <c r="J28" s="66">
        <f>IF(COUNT(D28,G28)=0,"",SUM(D28,G28))</f>
        <v/>
      </c>
      <c r="K28" s="66">
        <f>IF(COUNT(E28,H28)=0,"",SUM(E28,H28))</f>
        <v/>
      </c>
      <c r="L28" s="65">
        <f>IF(OR(J28="",J28=0,K28=""),"",K28/J28)</f>
        <v/>
      </c>
      <c r="M28" s="67">
        <f>IF(L28="","",IF(AND(F28&gt;=$F$9,I28&gt;=$F$9),"Both layers within tolerance","Deficient: "&amp;IF(I28&lt;$F$9,"AC/BC "&amp;TEXT(G28-H28,"0.0")&amp;" mm short","")&amp;IF(AND(I28&lt;$F$9,F28&lt;$F$9),"; ","")&amp;IF(F28&lt;$F$9,"DBM "&amp;TEXT(D28-E28,"0.0")&amp;" mm short","")&amp;" — issue NCR"))</f>
        <v/>
      </c>
    </row>
    <row r="29" ht="15" customHeight="1" s="49">
      <c r="A29" s="68" t="n"/>
      <c r="B29" s="68" t="n"/>
      <c r="C29" s="68" t="n"/>
      <c r="D29" s="69" t="n"/>
      <c r="E29" s="69" t="n"/>
      <c r="F29" s="65">
        <f>IF(OR(D29="",E29=""),"",E29/D29)</f>
        <v/>
      </c>
      <c r="G29" s="69" t="n"/>
      <c r="H29" s="69" t="n"/>
      <c r="I29" s="65">
        <f>IF(OR(G29="",H29=""),"",H29/G29)</f>
        <v/>
      </c>
      <c r="J29" s="66">
        <f>IF(COUNT(D29,G29)=0,"",SUM(D29,G29))</f>
        <v/>
      </c>
      <c r="K29" s="66">
        <f>IF(COUNT(E29,H29)=0,"",SUM(E29,H29))</f>
        <v/>
      </c>
      <c r="L29" s="65">
        <f>IF(OR(J29="",J29=0,K29=""),"",K29/J29)</f>
        <v/>
      </c>
      <c r="M29" s="67">
        <f>IF(L29="","",IF(AND(F29&gt;=$F$9,I29&gt;=$F$9),"Both layers within tolerance","Deficient: "&amp;IF(I29&lt;$F$9,"AC/BC "&amp;TEXT(G29-H29,"0.0")&amp;" mm short","")&amp;IF(AND(I29&lt;$F$9,F29&lt;$F$9),"; ","")&amp;IF(F29&lt;$F$9,"DBM "&amp;TEXT(D29-E29,"0.0")&amp;" mm short","")&amp;" — issue NCR"))</f>
        <v/>
      </c>
    </row>
    <row r="30" ht="15" customHeight="1" s="49">
      <c r="A30" s="68" t="n"/>
      <c r="B30" s="68" t="n"/>
      <c r="C30" s="68" t="n"/>
      <c r="D30" s="69" t="n"/>
      <c r="E30" s="69" t="n"/>
      <c r="F30" s="65">
        <f>IF(OR(D30="",E30=""),"",E30/D30)</f>
        <v/>
      </c>
      <c r="G30" s="69" t="n"/>
      <c r="H30" s="69" t="n"/>
      <c r="I30" s="65">
        <f>IF(OR(G30="",H30=""),"",H30/G30)</f>
        <v/>
      </c>
      <c r="J30" s="66">
        <f>IF(COUNT(D30,G30)=0,"",SUM(D30,G30))</f>
        <v/>
      </c>
      <c r="K30" s="66">
        <f>IF(COUNT(E30,H30)=0,"",SUM(E30,H30))</f>
        <v/>
      </c>
      <c r="L30" s="65">
        <f>IF(OR(J30="",J30=0,K30=""),"",K30/J30)</f>
        <v/>
      </c>
      <c r="M30" s="67">
        <f>IF(L30="","",IF(AND(F30&gt;=$F$9,I30&gt;=$F$9),"Both layers within tolerance","Deficient: "&amp;IF(I30&lt;$F$9,"AC/BC "&amp;TEXT(G30-H30,"0.0")&amp;" mm short","")&amp;IF(AND(I30&lt;$F$9,F30&lt;$F$9),"; ","")&amp;IF(F30&lt;$F$9,"DBM "&amp;TEXT(D30-E30,"0.0")&amp;" mm short","")&amp;" — issue NCR"))</f>
        <v/>
      </c>
    </row>
    <row r="31" ht="15" customHeight="1" s="49">
      <c r="A31" s="68" t="n"/>
      <c r="B31" s="68" t="n"/>
      <c r="C31" s="68" t="n"/>
      <c r="D31" s="69" t="n"/>
      <c r="E31" s="69" t="n"/>
      <c r="F31" s="65">
        <f>IF(OR(D31="",E31=""),"",E31/D31)</f>
        <v/>
      </c>
      <c r="G31" s="69" t="n"/>
      <c r="H31" s="69" t="n"/>
      <c r="I31" s="65">
        <f>IF(OR(G31="",H31=""),"",H31/G31)</f>
        <v/>
      </c>
      <c r="J31" s="66">
        <f>IF(COUNT(D31,G31)=0,"",SUM(D31,G31))</f>
        <v/>
      </c>
      <c r="K31" s="66">
        <f>IF(COUNT(E31,H31)=0,"",SUM(E31,H31))</f>
        <v/>
      </c>
      <c r="L31" s="65">
        <f>IF(OR(J31="",J31=0,K31=""),"",K31/J31)</f>
        <v/>
      </c>
      <c r="M31" s="67">
        <f>IF(L31="","",IF(AND(F31&gt;=$F$9,I31&gt;=$F$9),"Both layers within tolerance","Deficient: "&amp;IF(I31&lt;$F$9,"AC/BC "&amp;TEXT(G31-H31,"0.0")&amp;" mm short","")&amp;IF(AND(I31&lt;$F$9,F31&lt;$F$9),"; ","")&amp;IF(F31&lt;$F$9,"DBM "&amp;TEXT(D31-E31,"0.0")&amp;" mm short","")&amp;" — issue NCR"))</f>
        <v/>
      </c>
    </row>
    <row r="32" ht="15" customHeight="1" s="49">
      <c r="A32" s="68" t="n"/>
      <c r="B32" s="68" t="n"/>
      <c r="C32" s="68" t="n"/>
      <c r="D32" s="69" t="n"/>
      <c r="E32" s="69" t="n"/>
      <c r="F32" s="65">
        <f>IF(OR(D32="",E32=""),"",E32/D32)</f>
        <v/>
      </c>
      <c r="G32" s="69" t="n"/>
      <c r="H32" s="69" t="n"/>
      <c r="I32" s="65">
        <f>IF(OR(G32="",H32=""),"",H32/G32)</f>
        <v/>
      </c>
      <c r="J32" s="66">
        <f>IF(COUNT(D32,G32)=0,"",SUM(D32,G32))</f>
        <v/>
      </c>
      <c r="K32" s="66">
        <f>IF(COUNT(E32,H32)=0,"",SUM(E32,H32))</f>
        <v/>
      </c>
      <c r="L32" s="65">
        <f>IF(OR(J32="",J32=0,K32=""),"",K32/J32)</f>
        <v/>
      </c>
      <c r="M32" s="67">
        <f>IF(L32="","",IF(AND(F32&gt;=$F$9,I32&gt;=$F$9),"Both layers within tolerance","Deficient: "&amp;IF(I32&lt;$F$9,"AC/BC "&amp;TEXT(G32-H32,"0.0")&amp;" mm short","")&amp;IF(AND(I32&lt;$F$9,F32&lt;$F$9),"; ","")&amp;IF(F32&lt;$F$9,"DBM "&amp;TEXT(D32-E32,"0.0")&amp;" mm short","")&amp;" — issue NCR"))</f>
        <v/>
      </c>
    </row>
    <row r="33" ht="15" customHeight="1" s="49">
      <c r="A33" s="70" t="inlineStr">
        <is>
          <t>AVERAGE  /  MEAN</t>
        </is>
      </c>
      <c r="B33" s="71" t="n"/>
      <c r="C33" s="72" t="n"/>
      <c r="D33" s="73">
        <f>IFERROR(AVERAGE(D13:D32),"")</f>
        <v/>
      </c>
      <c r="E33" s="73">
        <f>IFERROR(AVERAGE(E13:E32),"")</f>
        <v/>
      </c>
      <c r="F33" s="74">
        <f>IFERROR(AVERAGE(F13:F32),"")</f>
        <v/>
      </c>
      <c r="G33" s="73">
        <f>IFERROR(AVERAGE(G13:G32),"")</f>
        <v/>
      </c>
      <c r="H33" s="73">
        <f>IFERROR(AVERAGE(H13:H32),"")</f>
        <v/>
      </c>
      <c r="I33" s="74">
        <f>IFERROR(AVERAGE(I13:I32),"")</f>
        <v/>
      </c>
      <c r="J33" s="73">
        <f>IFERROR(AVERAGE(J13:J32),"")</f>
        <v/>
      </c>
      <c r="K33" s="73">
        <f>IFERROR(AVERAGE(K13:K32),"")</f>
        <v/>
      </c>
      <c r="L33" s="74">
        <f>IFERROR(AVERAGE(L13:L32),"")</f>
        <v/>
      </c>
      <c r="M33" s="75">
        <f>IF(L33="","",IF(AND(F33&gt;=$F$9,I33&gt;=$F$9),"Mean of both layers acceptable","Mean thickness deficient in one or both layers"))</f>
        <v/>
      </c>
    </row>
    <row r="35" ht="15" customHeight="1" s="49">
      <c r="A35" s="76" t="inlineStr">
        <is>
          <t>LEGEND  &amp;  NOTES</t>
        </is>
      </c>
    </row>
    <row r="36" ht="15" customHeight="1" s="49">
      <c r="A36" s="57" t="inlineStr">
        <is>
          <t>1.  Blue text on yellow / grey = cells you type in. Black text = formulas — do not overwrite.</t>
        </is>
      </c>
    </row>
    <row r="37" ht="15" customHeight="1" s="49">
      <c r="A37" s="57" t="inlineStr">
        <is>
          <t>2.  Enter only Chainage, Core No., Position, and the four Design / Actual thickness values. Everything else is calculated.</t>
        </is>
      </c>
    </row>
    <row r="38" ht="15" customHeight="1" s="49">
      <c r="A38" s="57" t="inlineStr">
        <is>
          <t>3.  DBM % = DBM Actual ÷ DBM Design    •    AC/BC % = AC/BC Actual ÷ AC/BC Design</t>
        </is>
      </c>
    </row>
    <row r="39" ht="15" customHeight="1" s="49">
      <c r="A39" s="57" t="inlineStr">
        <is>
          <t>4.  Total Design = DBM Design + AC/BC Design    •    Total Actual = DBM Actual + AC/BC Actual    •    Total % = Total Actual ÷ Total Design</t>
        </is>
      </c>
    </row>
    <row r="40" ht="15" customHeight="1" s="49">
      <c r="A40" s="57" t="inlineStr">
        <is>
          <t>5.  Remarks is automatic: it compares Total % against the acceptance limit in cell F9 and reports the shortfall in mm where deficient.</t>
        </is>
      </c>
    </row>
    <row r="41" ht="15" customHeight="1" s="49">
      <c r="A41" s="57" t="inlineStr">
        <is>
          <t>6.  Confirm design thicknesses (DBM and AC/BC) against the approved drawing / BOQ for this stretch before entering actual values.</t>
        </is>
      </c>
    </row>
    <row r="42" ht="15" customHeight="1" s="49">
      <c r="A42" s="57" t="inlineStr">
        <is>
          <t>7.  The Summary sheet is fully linked to this sheet — no re-typing. Rows 13 to 32 are pre-formatted; add cores by filling the grey rows.</t>
        </is>
      </c>
    </row>
    <row r="45" ht="15" customHeight="1" s="49">
      <c r="A45" s="77" t="inlineStr">
        <is>
          <t>Name &amp; Signature :</t>
        </is>
      </c>
      <c r="B45" s="54" t="n"/>
      <c r="C45" s="54" t="n"/>
      <c r="D45" s="54" t="n"/>
      <c r="E45" s="77" t="inlineStr">
        <is>
          <t>Name &amp; Signature :</t>
        </is>
      </c>
      <c r="F45" s="54" t="n"/>
      <c r="G45" s="54" t="n"/>
      <c r="H45" s="54" t="n"/>
      <c r="I45" s="54" t="n"/>
      <c r="J45" s="77" t="inlineStr">
        <is>
          <t>Name &amp; Signature :</t>
        </is>
      </c>
      <c r="K45" s="54" t="n"/>
      <c r="L45" s="54" t="n"/>
      <c r="M45" s="54" t="n"/>
    </row>
    <row r="46" ht="15" customHeight="1" s="49">
      <c r="A46" s="78" t="inlineStr">
        <is>
          <t>Contractor's Representative</t>
        </is>
      </c>
      <c r="E46" s="78" t="inlineStr">
        <is>
          <t>Site Engineer / Overseer</t>
        </is>
      </c>
      <c r="J46" s="78" t="inlineStr">
        <is>
          <t>Senior Engineer, CQD</t>
        </is>
      </c>
    </row>
  </sheetData>
  <mergeCells count="34">
    <mergeCell ref="B4:F4"/>
    <mergeCell ref="B7:F7"/>
    <mergeCell ref="D11:F11"/>
    <mergeCell ref="I6:M6"/>
    <mergeCell ref="A35:M35"/>
    <mergeCell ref="M11:M12"/>
    <mergeCell ref="B11:B12"/>
    <mergeCell ref="J46:M46"/>
    <mergeCell ref="A38:M38"/>
    <mergeCell ref="J11:L11"/>
    <mergeCell ref="A33:C33"/>
    <mergeCell ref="I7:M7"/>
    <mergeCell ref="G9:M9"/>
    <mergeCell ref="A40:M40"/>
    <mergeCell ref="A39:M39"/>
    <mergeCell ref="C11:C12"/>
    <mergeCell ref="A45:D45"/>
    <mergeCell ref="A36:M36"/>
    <mergeCell ref="A1:M1"/>
    <mergeCell ref="E46:I46"/>
    <mergeCell ref="E45:I45"/>
    <mergeCell ref="I5:M5"/>
    <mergeCell ref="A41:M41"/>
    <mergeCell ref="A46:D46"/>
    <mergeCell ref="G11:I11"/>
    <mergeCell ref="I4:M4"/>
    <mergeCell ref="J45:M45"/>
    <mergeCell ref="B6:F6"/>
    <mergeCell ref="A37:M37"/>
    <mergeCell ref="B5:F5"/>
    <mergeCell ref="A2:M2"/>
    <mergeCell ref="A9:E9"/>
    <mergeCell ref="A11:A12"/>
    <mergeCell ref="A42:M42"/>
  </mergeCells>
  <dataValidations count="1">
    <dataValidation sqref="C13:C32" showDropDown="0" showInputMessage="0" showErrorMessage="1" allowBlank="1" errorTitle="Invalid position" error="Choose Left, Centre or Right." type="list" errorStyle="stop" operator="between">
      <formula1>"Left,Centre,Right"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8" min="1" max="1"/>
    <col width="44" customWidth="1" style="48" min="2" max="2"/>
    <col width="14" customWidth="1" style="48" min="3" max="5"/>
    <col width="34" customWidth="1" style="48" min="6" max="6"/>
  </cols>
  <sheetData>
    <row r="1" ht="24" customHeight="1" s="49">
      <c r="A1" s="50" t="inlineStr">
        <is>
          <t>CORE CUTTING — SUMMARY OF RESULTS</t>
        </is>
      </c>
    </row>
    <row r="2" ht="15" customHeight="1" s="49">
      <c r="A2" s="57" t="inlineStr">
        <is>
          <t>All figures are live links to the 'Core Cutting Record' sheet. Nothing on this sheet is typed.</t>
        </is>
      </c>
    </row>
    <row r="4" ht="15" customHeight="1" s="49">
      <c r="B4" s="79" t="inlineStr">
        <is>
          <t>Project / Work Name</t>
        </is>
      </c>
      <c r="C4" s="80">
        <f>'Core Cutting Record'!B4</f>
        <v/>
      </c>
    </row>
    <row r="5" ht="15" customHeight="1" s="49">
      <c r="B5" s="79" t="inlineStr">
        <is>
          <t>Contract / Package No.</t>
        </is>
      </c>
      <c r="C5" s="80">
        <f>'Core Cutting Record'!I4</f>
        <v/>
      </c>
    </row>
    <row r="6" ht="15" customHeight="1" s="49">
      <c r="B6" s="79" t="inlineStr">
        <is>
          <t>Date of Core Cutting</t>
        </is>
      </c>
      <c r="C6" s="80">
        <f>'Core Cutting Record'!B6</f>
        <v/>
      </c>
    </row>
    <row r="8" ht="15" customHeight="1" s="49">
      <c r="B8" s="58" t="inlineStr">
        <is>
          <t>Parameter</t>
        </is>
      </c>
      <c r="C8" s="58" t="inlineStr">
        <is>
          <t>DBM</t>
        </is>
      </c>
      <c r="D8" s="58" t="inlineStr">
        <is>
          <t>AC/BC</t>
        </is>
      </c>
      <c r="E8" s="58" t="inlineStr">
        <is>
          <t>Total</t>
        </is>
      </c>
      <c r="F8" s="58" t="inlineStr">
        <is>
          <t>Remarks</t>
        </is>
      </c>
    </row>
    <row r="9" ht="15" customHeight="1" s="49">
      <c r="B9" s="67" t="inlineStr">
        <is>
          <t>No. of cores tested</t>
        </is>
      </c>
      <c r="C9" s="81">
        <f>COUNT('Core Cutting Record'!E13:E32)</f>
        <v/>
      </c>
      <c r="D9" s="81">
        <f>COUNT('Core Cutting Record'!H13:H32)</f>
        <v/>
      </c>
      <c r="E9" s="81">
        <f>COUNT('Core Cutting Record'!K13:K32)</f>
        <v/>
      </c>
      <c r="F9" s="82" t="inlineStr">
        <is>
          <t>Count of cores with a recorded thickness</t>
        </is>
      </c>
    </row>
    <row r="10" ht="15" customHeight="1" s="49">
      <c r="B10" s="67" t="inlineStr">
        <is>
          <t>Design thickness (mm)</t>
        </is>
      </c>
      <c r="C10" s="81">
        <f>IFERROR(AVERAGE('Core Cutting Record'!D13:D32),"")</f>
        <v/>
      </c>
      <c r="D10" s="81">
        <f>IFERROR(AVERAGE('Core Cutting Record'!G13:G32),"")</f>
        <v/>
      </c>
      <c r="E10" s="81">
        <f>IFERROR(AVERAGE('Core Cutting Record'!J13:J32),"")</f>
        <v/>
      </c>
      <c r="F10" s="82" t="inlineStr">
        <is>
          <t>Mean design thickness as per drawing / BOQ</t>
        </is>
      </c>
    </row>
    <row r="11" ht="15" customHeight="1" s="49">
      <c r="B11" s="67" t="inlineStr">
        <is>
          <t>Mean actual thickness (mm)</t>
        </is>
      </c>
      <c r="C11" s="81">
        <f>IFERROR(AVERAGE('Core Cutting Record'!E13:E32),"")</f>
        <v/>
      </c>
      <c r="D11" s="81">
        <f>IFERROR(AVERAGE('Core Cutting Record'!H13:H32),"")</f>
        <v/>
      </c>
      <c r="E11" s="81">
        <f>IFERROR(AVERAGE('Core Cutting Record'!K13:K32),"")</f>
        <v/>
      </c>
      <c r="F11" s="82" t="inlineStr">
        <is>
          <t>Arithmetic mean of cores measured</t>
        </is>
      </c>
    </row>
    <row r="12" ht="15" customHeight="1" s="49">
      <c r="B12" s="67" t="inlineStr">
        <is>
          <t>Minimum actual thickness (mm)</t>
        </is>
      </c>
      <c r="C12" s="81">
        <f>IFERROR(MIN('Core Cutting Record'!E13:E32),"")</f>
        <v/>
      </c>
      <c r="D12" s="81">
        <f>IFERROR(MIN('Core Cutting Record'!H13:H32),"")</f>
        <v/>
      </c>
      <c r="E12" s="81">
        <f>IFERROR(MIN('Core Cutting Record'!K13:K32),"")</f>
        <v/>
      </c>
      <c r="F12" s="82" t="inlineStr">
        <is>
          <t>Governing core for acceptance</t>
        </is>
      </c>
    </row>
    <row r="13" ht="15" customHeight="1" s="49">
      <c r="B13" s="67" t="inlineStr">
        <is>
          <t>Maximum actual thickness (mm)</t>
        </is>
      </c>
      <c r="C13" s="81">
        <f>IFERROR(MAX('Core Cutting Record'!E13:E32),"")</f>
        <v/>
      </c>
      <c r="D13" s="81">
        <f>IFERROR(MAX('Core Cutting Record'!H13:H32),"")</f>
        <v/>
      </c>
      <c r="E13" s="81">
        <f>IFERROR(MAX('Core Cutting Record'!K13:K32),"")</f>
        <v/>
      </c>
      <c r="F13" s="82" t="n"/>
    </row>
    <row r="14" ht="15" customHeight="1" s="49">
      <c r="B14" s="67" t="inlineStr">
        <is>
          <t>Mean thickness achieved (%)</t>
        </is>
      </c>
      <c r="C14" s="83">
        <f>IFERROR(AVERAGE('Core Cutting Record'!F13:F32),"")</f>
        <v/>
      </c>
      <c r="D14" s="83">
        <f>IFERROR(AVERAGE('Core Cutting Record'!I13:I32),"")</f>
        <v/>
      </c>
      <c r="E14" s="83">
        <f>IFERROR(AVERAGE('Core Cutting Record'!L13:L32),"")</f>
        <v/>
      </c>
      <c r="F14" s="82" t="inlineStr">
        <is>
          <t>Mean of the per-core percentages</t>
        </is>
      </c>
    </row>
    <row r="15" ht="15" customHeight="1" s="49">
      <c r="B15" s="67" t="inlineStr">
        <is>
          <t>Lowest single core (%)</t>
        </is>
      </c>
      <c r="C15" s="83">
        <f>IFERROR(MIN('Core Cutting Record'!F13:F32),"")</f>
        <v/>
      </c>
      <c r="D15" s="83">
        <f>IFERROR(MIN('Core Cutting Record'!I13:I32),"")</f>
        <v/>
      </c>
      <c r="E15" s="83">
        <f>IFERROR(MIN('Core Cutting Record'!L13:L32),"")</f>
        <v/>
      </c>
      <c r="F15" s="82" t="inlineStr">
        <is>
          <t>Compare against the acceptance limit below</t>
        </is>
      </c>
    </row>
    <row r="16" ht="15" customHeight="1" s="49">
      <c r="B16" s="67" t="inlineStr">
        <is>
          <t>Mean deviation from design (mm)</t>
        </is>
      </c>
      <c r="C16" s="84">
        <f>IFERROR(AVERAGE('Core Cutting Record'!E13:E32)-AVERAGE('Core Cutting Record'!D13:D32),"")</f>
        <v/>
      </c>
      <c r="D16" s="84">
        <f>IFERROR(AVERAGE('Core Cutting Record'!H13:H32)-AVERAGE('Core Cutting Record'!G13:G32),"")</f>
        <v/>
      </c>
      <c r="E16" s="84">
        <f>IFERROR(AVERAGE('Core Cutting Record'!K13:K32)-AVERAGE('Core Cutting Record'!J13:J32),"")</f>
        <v/>
      </c>
      <c r="F16" s="82" t="inlineStr">
        <is>
          <t>Negative = shortfall against design</t>
        </is>
      </c>
    </row>
    <row r="18" ht="15" customHeight="1" s="49">
      <c r="B18" s="79" t="inlineStr">
        <is>
          <t>Acceptance limit set on record sheet (cell F9)</t>
        </is>
      </c>
      <c r="E18" s="85">
        <f>'Core Cutting Record'!$F$9</f>
        <v/>
      </c>
    </row>
    <row r="19" ht="15" customHeight="1" s="49">
      <c r="B19" s="86" t="inlineStr">
        <is>
          <t>Cores within tolerance</t>
        </is>
      </c>
      <c r="E19" s="87">
        <f>COUNTIFS('Core Cutting Record'!F13:F32,"&gt;="&amp;$E$18,'Core Cutting Record'!I13:I32,"&gt;="&amp;$E$18)</f>
        <v/>
      </c>
    </row>
    <row r="20" ht="15" customHeight="1" s="49">
      <c r="B20" s="86" t="inlineStr">
        <is>
          <t>Cores deficient (NCR required)</t>
        </is>
      </c>
      <c r="E20" s="88">
        <f>COUNT('Core Cutting Record'!L13:L32)-E19</f>
        <v/>
      </c>
    </row>
    <row r="21" ht="15" customHeight="1" s="49">
      <c r="B21" s="86" t="inlineStr">
        <is>
          <t xml:space="preserve">     of which AC/BC layer below limit</t>
        </is>
      </c>
      <c r="C21" s="87">
        <f>COUNTIFS('Core Cutting Record'!I13:I32,"&lt;"&amp;$E$18)</f>
        <v/>
      </c>
    </row>
    <row r="22" ht="15" customHeight="1" s="49">
      <c r="B22" s="86" t="inlineStr">
        <is>
          <t xml:space="preserve">     of which DBM layer below limit</t>
        </is>
      </c>
      <c r="C22" s="87">
        <f>COUNTIFS('Core Cutting Record'!F13:F32,"&lt;"&amp;$E$18)</f>
        <v/>
      </c>
    </row>
    <row r="24" ht="21.75" customHeight="1" s="49">
      <c r="B24" s="89">
        <f>IF(COUNT('Core Cutting Record'!L13:L32)=0,"No cores recorded yet.",IF(E20=0,"RESULT: All "&amp;E19&amp;" core(s) meet the "&amp;TEXT(E18,"0.0%")&amp;" acceptance limit — layer thickness accepted.","RESULT: "&amp;E20&amp;" of "&amp;COUNT('Core Cutting Record'!L13:L32)&amp;" core(s) below the "&amp;TEXT(E18,"0.0%")&amp;" limit — raise NCR and obtain ATR from the contractor."))</f>
        <v/>
      </c>
      <c r="C24" s="71" t="n"/>
      <c r="D24" s="71" t="n"/>
      <c r="E24" s="71" t="n"/>
      <c r="F24" s="71" t="n"/>
    </row>
    <row r="26" ht="15" customHeight="1" s="49">
      <c r="B26" s="57" t="inlineStr">
        <is>
          <t>Note: acceptance of an individual core is judged here on total bituminous thickness. Where the contract judges DBM and AC/BC separately, read the per-layer % columns on the record sheet.</t>
        </is>
      </c>
    </row>
  </sheetData>
  <mergeCells count="7">
    <mergeCell ref="A2:F2"/>
    <mergeCell ref="B24:F24"/>
    <mergeCell ref="C4:F4"/>
    <mergeCell ref="A1:F1"/>
    <mergeCell ref="C6:F6"/>
    <mergeCell ref="C5:F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8" min="1" max="1"/>
    <col width="30" customWidth="1" style="48" min="2" max="2"/>
    <col width="14" customWidth="1" style="48" min="3" max="5"/>
    <col width="3" customWidth="1" style="48" min="6" max="6"/>
    <col width="60" customWidth="1" style="48" min="7" max="7"/>
  </cols>
  <sheetData>
    <row r="1" ht="24" customHeight="1" s="49">
      <c r="A1" s="50" t="inlineStr">
        <is>
          <t>CORE LOG — LAYER IDENTIFICATION &amp; FIELD PROCEDURE</t>
        </is>
      </c>
    </row>
    <row r="3" ht="15" customHeight="1" s="49">
      <c r="B3" s="52" t="inlineStr">
        <is>
          <t>Typical core section (mean values linked from the record sheet)</t>
        </is>
      </c>
      <c r="G3" s="76" t="inlineStr">
        <is>
          <t>FIELD PROCEDURE</t>
        </is>
      </c>
    </row>
    <row r="4" ht="30" customHeight="1" s="49">
      <c r="C4" s="90" t="inlineStr">
        <is>
          <t>Design (mm)</t>
        </is>
      </c>
      <c r="D4" s="90" t="inlineStr">
        <is>
          <t>Mean actual (mm)</t>
        </is>
      </c>
      <c r="E4" s="90" t="inlineStr">
        <is>
          <t>Achieved %</t>
        </is>
      </c>
      <c r="G4" s="91" t="inlineStr">
        <is>
          <t>1.  Cut cores only after the layer has cooled and gained strength; record date, chainage and offset before extraction.</t>
        </is>
      </c>
    </row>
    <row r="5" ht="30" customHeight="1" s="49">
      <c r="B5" s="92" t="inlineStr">
        <is>
          <t>▲  ROAD SURFACE  ▲</t>
        </is>
      </c>
      <c r="G5" s="91" t="inlineStr">
        <is>
          <t>2.  Take cores transversely at Left / Centre / Right of the carriageway at each chainage so transverse variation is captured.</t>
        </is>
      </c>
    </row>
    <row r="6" ht="30" customHeight="1" s="49">
      <c r="B6" s="93" t="inlineStr">
        <is>
          <t>AC / BC  —  Wearing Course</t>
        </is>
      </c>
      <c r="C6" s="94">
        <f>IF('Core Cutting Record'!G33="","—",'Core Cutting Record'!G33)</f>
        <v/>
      </c>
      <c r="D6" s="94">
        <f>IF('Core Cutting Record'!H33="","—",'Core Cutting Record'!H33)</f>
        <v/>
      </c>
      <c r="E6" s="95">
        <f>IF('Core Cutting Record'!I33="","—",'Core Cutting Record'!I33)</f>
        <v/>
      </c>
      <c r="G6" s="91" t="inlineStr">
        <is>
          <t>3.  Identify the layer boundary on the extracted core: from the top, AC/BC → DBM → granular base. The tack-coat interface is usually visible as a dark line and by the change in aggregate size.</t>
        </is>
      </c>
    </row>
    <row r="7" ht="30" customHeight="1" s="49">
      <c r="B7" s="96" t="n"/>
      <c r="C7" s="61" t="n"/>
      <c r="D7" s="61" t="n"/>
      <c r="E7" s="61" t="n"/>
      <c r="G7" s="91" t="inlineStr">
        <is>
          <t>4.  Measure each layer at 3 or 4 points around the circumference and record the mean for that layer — a single caliper reading on a saw-cut face is not representative.</t>
        </is>
      </c>
    </row>
    <row r="8" ht="30" customHeight="1" s="49">
      <c r="B8" s="97" t="inlineStr">
        <is>
          <t>DBM  —  Binder Course</t>
        </is>
      </c>
      <c r="C8" s="94">
        <f>IF('Core Cutting Record'!D33="","—",'Core Cutting Record'!D33)</f>
        <v/>
      </c>
      <c r="D8" s="94">
        <f>IF('Core Cutting Record'!E33="","—",'Core Cutting Record'!E33)</f>
        <v/>
      </c>
      <c r="E8" s="95">
        <f>IF('Core Cutting Record'!F33="","—",'Core Cutting Record'!F33)</f>
        <v/>
      </c>
      <c r="G8" s="91" t="inlineStr">
        <is>
          <t>5.  Where the interface is indistinct (e.g. DBM placed on a hot AC layer), note it in the Remarks column rather than guessing a boundary; re-core if the split cannot be established.</t>
        </is>
      </c>
    </row>
    <row r="9" ht="30" customHeight="1" s="49">
      <c r="B9" s="96" t="n"/>
      <c r="C9" s="61" t="n"/>
      <c r="D9" s="61" t="n"/>
      <c r="E9" s="61" t="n"/>
      <c r="G9" s="91" t="inlineStr">
        <is>
          <t>6.  Photograph each core beside a scale with the core number visible, and retain the cores until the layer is accepted.</t>
        </is>
      </c>
    </row>
    <row r="10" ht="30" customHeight="1" s="49">
      <c r="B10" s="98" t="inlineStr">
        <is>
          <t>WMM / Granular base  (not cored)</t>
        </is>
      </c>
      <c r="C10" s="99" t="inlineStr">
        <is>
          <t>Base of the lowest bituminous layer is the datum for measurement.</t>
        </is>
      </c>
      <c r="G10" s="91" t="inlineStr">
        <is>
          <t>7.  Backfill and seal every core hole the same day with the same mix, properly compacted.</t>
        </is>
      </c>
    </row>
    <row r="11" ht="30" customHeight="1" s="49">
      <c r="B11" s="96" t="n"/>
      <c r="G11" s="91" t="inlineStr">
        <is>
          <t>8.  Enter the values on the 'Core Cutting Record' sheet; percentages, totals and Remarks compute themselves.</t>
        </is>
      </c>
    </row>
    <row r="13" ht="15" customHeight="1" s="49">
      <c r="B13" s="100" t="inlineStr">
        <is>
          <t>Total bituminous thickness  =  AC/BC + DBM.  Never log the full core as a single thickness — the two layers are accepted separately.</t>
        </is>
      </c>
    </row>
    <row r="16" ht="15" customHeight="1" s="49">
      <c r="B16" s="76" t="inlineStr">
        <is>
          <t>STANDARDS — POINTS TO VERIFY AGAINST YOUR CONTRACT</t>
        </is>
      </c>
    </row>
    <row r="17" ht="31.5" customHeight="1" s="49">
      <c r="B17" s="91" t="inlineStr">
        <is>
          <t>•  The thickness tolerance and the basis of acceptance (individual core vs. mean of a lot) are set by the specification named in the contract — enter that figure in cell F9 of the record sheet.</t>
        </is>
      </c>
    </row>
    <row r="18" ht="31.5" customHeight="1" s="49">
      <c r="B18" s="91" t="inlineStr">
        <is>
          <t>•  IS 1203 is the penetration test for bituminous materials. It is NOT a core-thickness or acceptance standard; do not cite it on this record.</t>
        </is>
      </c>
    </row>
    <row r="19" ht="31.5" customHeight="1" s="49">
      <c r="B19" s="91" t="inlineStr">
        <is>
          <t>•  Thickness of a compacted bituminous specimen is covered by ASTM D3549; sampling of compacted paving by coring is covered by ASTM D5361. Cite these only if your contract adopts ASTM.</t>
        </is>
      </c>
    </row>
    <row r="20" ht="31.5" customHeight="1" s="49">
      <c r="B20" s="91" t="inlineStr">
        <is>
          <t>•  Where the works follow the MoRTH Specifications for Road and Bridge Works, use the clause and edition stated in the contract, and quote the clause number on the NCR.</t>
        </is>
      </c>
    </row>
    <row r="21" ht="31.5" customHeight="1" s="49">
      <c r="B21" s="91" t="inlineStr">
        <is>
          <t>•  Design thicknesses vary by pavement design — confirm the DBM and AC/BC values against the approved drawing for this stretch, not against a textbook example.</t>
        </is>
      </c>
    </row>
  </sheetData>
  <mergeCells count="20">
    <mergeCell ref="E8:E9"/>
    <mergeCell ref="B8:B9"/>
    <mergeCell ref="B5:E5"/>
    <mergeCell ref="B20:E20"/>
    <mergeCell ref="B16:E16"/>
    <mergeCell ref="B3:E3"/>
    <mergeCell ref="E6:E7"/>
    <mergeCell ref="B10:B11"/>
    <mergeCell ref="B6:B7"/>
    <mergeCell ref="C10:E11"/>
    <mergeCell ref="B18:E18"/>
    <mergeCell ref="A1:G1"/>
    <mergeCell ref="C8:C9"/>
    <mergeCell ref="B21:E21"/>
    <mergeCell ref="D8:D9"/>
    <mergeCell ref="B17:E17"/>
    <mergeCell ref="B13:E13"/>
    <mergeCell ref="C6:C7"/>
    <mergeCell ref="B19:E19"/>
    <mergeCell ref="D6:D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2026-08-12T10:27:10Z</dcterms:created>
  <dcterms:modified xsi:type="dcterms:W3CDTF">2026-08-12T10:35:28Z</dcterms:modified>
  <cp:revision>0</cp:revision>
</cp:coreProperties>
</file>